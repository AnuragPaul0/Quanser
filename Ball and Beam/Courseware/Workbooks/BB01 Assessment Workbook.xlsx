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05" yWindow="60" windowWidth="19740" windowHeight="9795" activeTab="1"/>
  </bookViews>
  <sheets>
    <sheet name="Pre-Lab Questions" sheetId="1" r:id="rId1"/>
    <sheet name="Ball and Beam Lab" sheetId="8" r:id="rId2"/>
  </sheets>
  <calcPr calcId="124519"/>
</workbook>
</file>

<file path=xl/calcChain.xml><?xml version="1.0" encoding="utf-8"?>
<calcChain xmlns="http://schemas.openxmlformats.org/spreadsheetml/2006/main">
  <c r="L20" i="8"/>
  <c r="C20"/>
  <c r="H14" i="1"/>
  <c r="G14"/>
  <c r="F14"/>
  <c r="F5" s="1"/>
  <c r="F8"/>
  <c r="F10"/>
  <c r="F12"/>
  <c r="F4"/>
  <c r="P16" i="8"/>
  <c r="P15"/>
  <c r="S16"/>
  <c r="R16"/>
  <c r="Q16"/>
  <c r="O16"/>
  <c r="N16"/>
  <c r="M16"/>
  <c r="L16"/>
  <c r="I16"/>
  <c r="H16"/>
  <c r="G16"/>
  <c r="F16"/>
  <c r="E16"/>
  <c r="D16"/>
  <c r="C16"/>
  <c r="S15"/>
  <c r="R15"/>
  <c r="Q15"/>
  <c r="O15"/>
  <c r="N15"/>
  <c r="L19" s="1"/>
  <c r="M15"/>
  <c r="L15"/>
  <c r="I15"/>
  <c r="H15"/>
  <c r="G15"/>
  <c r="F15"/>
  <c r="E15"/>
  <c r="C19" s="1"/>
  <c r="D15"/>
  <c r="C15"/>
  <c r="H5" i="1"/>
  <c r="G5"/>
  <c r="H13" l="1"/>
  <c r="H10"/>
  <c r="H9"/>
  <c r="H6"/>
  <c r="H4"/>
  <c r="H12"/>
  <c r="H11"/>
  <c r="H8"/>
  <c r="H7"/>
  <c r="G13"/>
  <c r="G12"/>
  <c r="G9"/>
  <c r="G8"/>
  <c r="G4"/>
  <c r="G11"/>
  <c r="G10"/>
  <c r="G7"/>
  <c r="G6"/>
  <c r="F6"/>
  <c r="F13"/>
  <c r="F11"/>
  <c r="F9"/>
  <c r="F7"/>
  <c r="C18" i="8"/>
  <c r="L18"/>
  <c r="F16" i="1" l="1"/>
  <c r="F17"/>
  <c r="H16"/>
  <c r="G16"/>
  <c r="H17"/>
  <c r="F19" l="1"/>
  <c r="G17"/>
</calcChain>
</file>

<file path=xl/sharedStrings.xml><?xml version="1.0" encoding="utf-8"?>
<sst xmlns="http://schemas.openxmlformats.org/spreadsheetml/2006/main" count="69" uniqueCount="38">
  <si>
    <t>ID</t>
  </si>
  <si>
    <t>A-1</t>
  </si>
  <si>
    <t>A-2</t>
  </si>
  <si>
    <t>A-3</t>
  </si>
  <si>
    <t>Pre-Lab Questions</t>
  </si>
  <si>
    <t>Beam and Ball</t>
  </si>
  <si>
    <t>Student Name</t>
  </si>
  <si>
    <t>Overall</t>
  </si>
  <si>
    <t>Total Possible</t>
  </si>
  <si>
    <t>Average</t>
  </si>
  <si>
    <t>Std. Dev.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</si>
  <si>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</si>
  <si>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</si>
  <si>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</si>
  <si>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</si>
  <si>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</si>
  <si>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</si>
  <si>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</si>
  <si>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</si>
  <si>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</si>
  <si>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</si>
  <si>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K-3</t>
  </si>
  <si>
    <t>B-5</t>
  </si>
  <si>
    <t>B-6</t>
  </si>
  <si>
    <t>B-7</t>
  </si>
  <si>
    <t>B-9</t>
  </si>
  <si>
    <t>GS-1</t>
  </si>
  <si>
    <t>GS-2</t>
  </si>
  <si>
    <t>Report Format</t>
  </si>
  <si>
    <t>SCORE for K:</t>
  </si>
  <si>
    <t>SCORE for B:</t>
  </si>
  <si>
    <t>SCORE for G:</t>
  </si>
  <si>
    <t>Lab Report Content</t>
  </si>
  <si>
    <t>Scaled</t>
  </si>
  <si>
    <t>SCORE for A:</t>
  </si>
  <si>
    <t>K-1</t>
  </si>
  <si>
    <t>Cascade Control with Ideal PD</t>
  </si>
  <si>
    <t>Cascade Control with Practical PD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</si>
</sst>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67955565050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11" xfId="0" applyBorder="1"/>
    <xf numFmtId="0" fontId="0" fillId="0" borderId="0" xfId="0" applyBorder="1"/>
    <xf numFmtId="0" fontId="0" fillId="0" borderId="1" xfId="0" applyBorder="1"/>
    <xf numFmtId="0" fontId="0" fillId="0" borderId="0" xfId="0" applyBorder="1" applyProtection="1"/>
    <xf numFmtId="0" fontId="0" fillId="0" borderId="2" xfId="0" applyBorder="1" applyProtection="1"/>
    <xf numFmtId="0" fontId="1" fillId="0" borderId="3" xfId="0" applyFont="1" applyBorder="1" applyProtection="1"/>
    <xf numFmtId="0" fontId="1" fillId="0" borderId="9" xfId="0" applyFont="1" applyBorder="1" applyAlignment="1" applyProtection="1">
      <alignment horizontal="center"/>
    </xf>
    <xf numFmtId="0" fontId="0" fillId="0" borderId="1" xfId="0" applyBorder="1" applyProtection="1"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4" xfId="0" applyBorder="1" applyAlignment="1" applyProtection="1">
      <alignment horizontal="center"/>
      <protection locked="0"/>
    </xf>
    <xf numFmtId="2" fontId="0" fillId="0" borderId="3" xfId="0" applyNumberFormat="1" applyBorder="1" applyAlignment="1" applyProtection="1">
      <alignment horizontal="center"/>
      <protection locked="0"/>
    </xf>
    <xf numFmtId="2" fontId="0" fillId="0" borderId="9" xfId="0" applyNumberForma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11" xfId="0" applyBorder="1" applyProtection="1">
      <protection locked="0"/>
    </xf>
    <xf numFmtId="0" fontId="1" fillId="0" borderId="10" xfId="0" applyFont="1" applyBorder="1" applyAlignment="1" applyProtection="1">
      <alignment horizontal="right"/>
      <protection locked="0"/>
    </xf>
    <xf numFmtId="0" fontId="0" fillId="0" borderId="5" xfId="0" applyBorder="1" applyProtection="1">
      <protection locked="0"/>
    </xf>
    <xf numFmtId="0" fontId="1" fillId="4" borderId="4" xfId="0" applyFont="1" applyFill="1" applyBorder="1" applyAlignment="1" applyProtection="1">
      <alignment horizontal="center"/>
    </xf>
    <xf numFmtId="0" fontId="1" fillId="3" borderId="4" xfId="0" applyFont="1" applyFill="1" applyBorder="1" applyAlignment="1" applyProtection="1">
      <alignment horizontal="center"/>
    </xf>
    <xf numFmtId="0" fontId="1" fillId="4" borderId="12" xfId="0" applyFont="1" applyFill="1" applyBorder="1" applyAlignment="1" applyProtection="1">
      <alignment horizontal="center"/>
    </xf>
    <xf numFmtId="0" fontId="1" fillId="0" borderId="8" xfId="0" applyFont="1" applyBorder="1" applyAlignment="1" applyProtection="1">
      <alignment horizontal="right"/>
      <protection locked="0"/>
    </xf>
    <xf numFmtId="0" fontId="1" fillId="3" borderId="24" xfId="0" applyFont="1" applyFill="1" applyBorder="1" applyAlignment="1" applyProtection="1">
      <alignment horizontal="center"/>
    </xf>
    <xf numFmtId="0" fontId="1" fillId="3" borderId="25" xfId="0" applyFont="1" applyFill="1" applyBorder="1" applyAlignment="1" applyProtection="1">
      <alignment horizontal="center"/>
    </xf>
    <xf numFmtId="0" fontId="0" fillId="4" borderId="29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4" borderId="30" xfId="0" applyFill="1" applyBorder="1" applyAlignment="1" applyProtection="1">
      <alignment horizontal="center"/>
      <protection locked="0"/>
    </xf>
    <xf numFmtId="2" fontId="0" fillId="4" borderId="26" xfId="0" applyNumberFormat="1" applyFill="1" applyBorder="1" applyAlignment="1" applyProtection="1">
      <alignment horizontal="center"/>
      <protection locked="0"/>
    </xf>
    <xf numFmtId="2" fontId="0" fillId="4" borderId="0" xfId="0" applyNumberFormat="1" applyFill="1" applyBorder="1" applyAlignment="1" applyProtection="1">
      <alignment horizontal="center"/>
      <protection locked="0"/>
    </xf>
    <xf numFmtId="2" fontId="0" fillId="4" borderId="28" xfId="0" applyNumberFormat="1" applyFill="1" applyBorder="1" applyAlignment="1" applyProtection="1">
      <alignment horizontal="center"/>
      <protection locked="0"/>
    </xf>
    <xf numFmtId="2" fontId="0" fillId="4" borderId="31" xfId="0" applyNumberFormat="1" applyFill="1" applyBorder="1" applyAlignment="1" applyProtection="1">
      <alignment horizontal="center"/>
      <protection locked="0"/>
    </xf>
    <xf numFmtId="2" fontId="0" fillId="4" borderId="32" xfId="0" applyNumberFormat="1" applyFill="1" applyBorder="1" applyAlignment="1" applyProtection="1">
      <alignment horizontal="center"/>
      <protection locked="0"/>
    </xf>
    <xf numFmtId="2" fontId="0" fillId="4" borderId="33" xfId="0" applyNumberFormat="1" applyFill="1" applyBorder="1" applyAlignment="1" applyProtection="1">
      <alignment horizontal="center"/>
      <protection locked="0"/>
    </xf>
    <xf numFmtId="2" fontId="0" fillId="4" borderId="27" xfId="0" applyNumberFormat="1" applyFill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1" fillId="0" borderId="3" xfId="0" applyFont="1" applyBorder="1" applyAlignment="1" applyProtection="1">
      <alignment horizontal="center"/>
    </xf>
    <xf numFmtId="0" fontId="0" fillId="0" borderId="5" xfId="0" applyBorder="1" applyAlignment="1" applyProtection="1">
      <alignment horizontal="center"/>
      <protection locked="0"/>
    </xf>
    <xf numFmtId="0" fontId="1" fillId="0" borderId="5" xfId="0" applyFont="1" applyBorder="1" applyAlignment="1" applyProtection="1">
      <alignment horizontal="right"/>
      <protection locked="0"/>
    </xf>
    <xf numFmtId="2" fontId="0" fillId="0" borderId="5" xfId="0" applyNumberFormat="1" applyBorder="1" applyAlignment="1" applyProtection="1">
      <alignment horizontal="center"/>
      <protection locked="0"/>
    </xf>
    <xf numFmtId="2" fontId="0" fillId="0" borderId="6" xfId="0" applyNumberFormat="1" applyBorder="1" applyAlignment="1" applyProtection="1">
      <alignment horizontal="center"/>
      <protection locked="0"/>
    </xf>
    <xf numFmtId="2" fontId="0" fillId="0" borderId="8" xfId="0" applyNumberFormat="1" applyBorder="1" applyAlignment="1" applyProtection="1">
      <alignment horizontal="center"/>
      <protection locked="0"/>
    </xf>
    <xf numFmtId="2" fontId="0" fillId="0" borderId="7" xfId="0" applyNumberFormat="1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2" fontId="4" fillId="5" borderId="34" xfId="0" applyNumberFormat="1" applyFont="1" applyFill="1" applyBorder="1" applyAlignment="1">
      <alignment horizontal="center"/>
    </xf>
    <xf numFmtId="0" fontId="1" fillId="4" borderId="0" xfId="0" applyFont="1" applyFill="1" applyBorder="1" applyAlignment="1" applyProtection="1">
      <alignment horizontal="center"/>
    </xf>
    <xf numFmtId="2" fontId="0" fillId="0" borderId="0" xfId="0" applyNumberFormat="1" applyBorder="1" applyAlignment="1" applyProtection="1">
      <alignment horizontal="center"/>
      <protection locked="0"/>
    </xf>
    <xf numFmtId="0" fontId="1" fillId="4" borderId="14" xfId="0" applyFont="1" applyFill="1" applyBorder="1" applyAlignment="1" applyProtection="1">
      <alignment horizontal="center"/>
    </xf>
    <xf numFmtId="0" fontId="0" fillId="0" borderId="7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4" fillId="5" borderId="37" xfId="0" applyFont="1" applyFill="1" applyBorder="1" applyAlignment="1" applyProtection="1">
      <alignment horizontal="right"/>
      <protection locked="0"/>
    </xf>
    <xf numFmtId="2" fontId="4" fillId="5" borderId="38" xfId="0" applyNumberFormat="1" applyFont="1" applyFill="1" applyBorder="1" applyAlignment="1">
      <alignment horizontal="center"/>
    </xf>
    <xf numFmtId="0" fontId="4" fillId="5" borderId="29" xfId="0" applyFont="1" applyFill="1" applyBorder="1" applyAlignment="1" applyProtection="1">
      <alignment horizontal="right"/>
      <protection locked="0"/>
    </xf>
    <xf numFmtId="2" fontId="4" fillId="5" borderId="25" xfId="0" applyNumberFormat="1" applyFont="1" applyFill="1" applyBorder="1" applyAlignment="1">
      <alignment horizontal="center"/>
    </xf>
    <xf numFmtId="0" fontId="4" fillId="5" borderId="39" xfId="0" applyFont="1" applyFill="1" applyBorder="1" applyAlignment="1" applyProtection="1">
      <alignment horizontal="right"/>
      <protection locked="0"/>
    </xf>
    <xf numFmtId="2" fontId="4" fillId="5" borderId="40" xfId="0" applyNumberFormat="1" applyFont="1" applyFill="1" applyBorder="1" applyAlignment="1">
      <alignment horizontal="center"/>
    </xf>
    <xf numFmtId="0" fontId="1" fillId="0" borderId="0" xfId="0" applyFont="1" applyBorder="1" applyAlignment="1"/>
    <xf numFmtId="0" fontId="0" fillId="0" borderId="0" xfId="0" applyFill="1" applyBorder="1" applyAlignment="1">
      <alignment horizontal="center"/>
    </xf>
    <xf numFmtId="0" fontId="4" fillId="0" borderId="11" xfId="0" applyFont="1" applyBorder="1" applyAlignment="1" applyProtection="1">
      <alignment horizontal="right"/>
      <protection locked="0"/>
    </xf>
    <xf numFmtId="2" fontId="0" fillId="4" borderId="41" xfId="0" applyNumberFormat="1" applyFill="1" applyBorder="1" applyAlignment="1" applyProtection="1">
      <alignment horizontal="center"/>
      <protection locked="0"/>
    </xf>
    <xf numFmtId="2" fontId="0" fillId="4" borderId="6" xfId="0" applyNumberFormat="1" applyFill="1" applyBorder="1" applyAlignment="1" applyProtection="1">
      <alignment horizontal="center"/>
      <protection locked="0"/>
    </xf>
    <xf numFmtId="2" fontId="0" fillId="0" borderId="27" xfId="0" applyNumberFormat="1" applyBorder="1" applyAlignment="1" applyProtection="1">
      <alignment horizontal="center"/>
      <protection locked="0"/>
    </xf>
    <xf numFmtId="0" fontId="1" fillId="0" borderId="42" xfId="0" applyFont="1" applyBorder="1" applyAlignment="1" applyProtection="1">
      <alignment horizontal="center"/>
      <protection locked="0"/>
    </xf>
    <xf numFmtId="0" fontId="1" fillId="0" borderId="43" xfId="0" applyFont="1" applyBorder="1" applyAlignment="1" applyProtection="1">
      <alignment horizontal="right"/>
      <protection locked="0"/>
    </xf>
    <xf numFmtId="0" fontId="1" fillId="0" borderId="0" xfId="0" applyFont="1" applyFill="1" applyBorder="1" applyAlignment="1" applyProtection="1">
      <alignment horizontal="center"/>
    </xf>
    <xf numFmtId="2" fontId="0" fillId="4" borderId="23" xfId="0" applyNumberFormat="1" applyFill="1" applyBorder="1" applyAlignment="1" applyProtection="1">
      <alignment horizontal="center"/>
      <protection locked="0"/>
    </xf>
    <xf numFmtId="0" fontId="4" fillId="5" borderId="44" xfId="0" applyFont="1" applyFill="1" applyBorder="1" applyAlignment="1">
      <alignment horizontal="right"/>
    </xf>
    <xf numFmtId="0" fontId="0" fillId="0" borderId="34" xfId="0" applyBorder="1" applyAlignment="1">
      <alignment horizontal="right"/>
    </xf>
    <xf numFmtId="0" fontId="3" fillId="2" borderId="15" xfId="0" applyFont="1" applyFill="1" applyBorder="1" applyAlignment="1" applyProtection="1">
      <alignment horizontal="center"/>
    </xf>
    <xf numFmtId="0" fontId="3" fillId="2" borderId="15" xfId="0" applyFont="1" applyFill="1" applyBorder="1" applyProtection="1"/>
    <xf numFmtId="0" fontId="3" fillId="2" borderId="17" xfId="0" applyFont="1" applyFill="1" applyBorder="1" applyProtection="1"/>
    <xf numFmtId="0" fontId="2" fillId="2" borderId="16" xfId="0" applyFont="1" applyFill="1" applyBorder="1" applyAlignment="1" applyProtection="1">
      <alignment horizontal="center"/>
    </xf>
    <xf numFmtId="0" fontId="2" fillId="2" borderId="16" xfId="0" applyFont="1" applyFill="1" applyBorder="1" applyProtection="1"/>
    <xf numFmtId="0" fontId="2" fillId="2" borderId="18" xfId="0" applyFont="1" applyFill="1" applyBorder="1" applyProtection="1"/>
    <xf numFmtId="0" fontId="0" fillId="3" borderId="19" xfId="0" applyFill="1" applyBorder="1" applyAlignment="1" applyProtection="1">
      <alignment horizontal="center"/>
    </xf>
    <xf numFmtId="0" fontId="0" fillId="3" borderId="20" xfId="0" applyFill="1" applyBorder="1" applyProtection="1"/>
    <xf numFmtId="0" fontId="0" fillId="3" borderId="21" xfId="0" applyFill="1" applyBorder="1" applyProtection="1"/>
    <xf numFmtId="0" fontId="0" fillId="3" borderId="22" xfId="0" applyFill="1" applyBorder="1" applyAlignment="1" applyProtection="1">
      <alignment horizontal="center"/>
    </xf>
    <xf numFmtId="0" fontId="0" fillId="3" borderId="3" xfId="0" applyFill="1" applyBorder="1" applyProtection="1"/>
    <xf numFmtId="0" fontId="0" fillId="3" borderId="23" xfId="0" applyFill="1" applyBorder="1" applyProtection="1"/>
    <xf numFmtId="0" fontId="3" fillId="2" borderId="35" xfId="0" applyFont="1" applyFill="1" applyBorder="1" applyAlignment="1" applyProtection="1">
      <alignment horizontal="center"/>
    </xf>
    <xf numFmtId="0" fontId="1" fillId="0" borderId="36" xfId="0" applyFont="1" applyBorder="1" applyAlignment="1"/>
    <xf numFmtId="0" fontId="2" fillId="2" borderId="8" xfId="0" applyFont="1" applyFill="1" applyBorder="1" applyAlignment="1" applyProtection="1">
      <alignment horizontal="center"/>
    </xf>
    <xf numFmtId="0" fontId="0" fillId="0" borderId="3" xfId="0" applyBorder="1" applyAlignment="1"/>
    <xf numFmtId="0" fontId="0" fillId="5" borderId="22" xfId="0" applyFill="1" applyBorder="1" applyAlignment="1">
      <alignment horizontal="center"/>
    </xf>
    <xf numFmtId="0" fontId="0" fillId="5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H19"/>
  <sheetViews>
    <sheetView topLeftCell="B1" workbookViewId="0">
      <selection activeCell="J14" sqref="J14"/>
    </sheetView>
  </sheetViews>
  <sheetFormatPr defaultRowHeight="15"/>
  <cols>
    <col min="1" max="1" width="40.28515625" style="6" customWidth="1"/>
    <col min="2" max="2" width="18.140625" style="4" customWidth="1"/>
    <col min="3" max="4" width="9.140625" style="1"/>
    <col min="5" max="5" width="9.140625" style="2"/>
    <col min="6" max="7" width="9.140625" style="1"/>
    <col min="8" max="8" width="9.140625" style="2"/>
  </cols>
  <sheetData>
    <row r="1" spans="1:8">
      <c r="A1" s="7"/>
      <c r="B1" s="8"/>
      <c r="C1" s="75" t="s">
        <v>5</v>
      </c>
      <c r="D1" s="76"/>
      <c r="E1" s="77"/>
      <c r="F1" s="81" t="s">
        <v>7</v>
      </c>
      <c r="G1" s="82"/>
      <c r="H1" s="83"/>
    </row>
    <row r="2" spans="1:8">
      <c r="A2" s="7"/>
      <c r="B2" s="8"/>
      <c r="C2" s="78" t="s">
        <v>4</v>
      </c>
      <c r="D2" s="79"/>
      <c r="E2" s="80"/>
      <c r="F2" s="84" t="s">
        <v>4</v>
      </c>
      <c r="G2" s="85"/>
      <c r="H2" s="86"/>
    </row>
    <row r="3" spans="1:8">
      <c r="A3" s="9" t="s">
        <v>6</v>
      </c>
      <c r="B3" s="10" t="s">
        <v>0</v>
      </c>
      <c r="C3" s="26" t="s">
        <v>1</v>
      </c>
      <c r="D3" s="26" t="s">
        <v>2</v>
      </c>
      <c r="E3" s="28" t="s">
        <v>3</v>
      </c>
      <c r="F3" s="30" t="s">
        <v>1</v>
      </c>
      <c r="G3" s="27" t="s">
        <v>2</v>
      </c>
      <c r="H3" s="31" t="s">
        <v>3</v>
      </c>
    </row>
    <row r="4" spans="1:8" s="22" customFormat="1">
      <c r="A4" s="11" t="s">
        <v>11</v>
      </c>
      <c r="B4" s="12">
        <v>1</v>
      </c>
      <c r="C4" s="14">
        <v>8</v>
      </c>
      <c r="D4" s="14">
        <v>14</v>
      </c>
      <c r="E4" s="15">
        <v>6</v>
      </c>
      <c r="F4" s="35">
        <f>C4/F$14</f>
        <v>1</v>
      </c>
      <c r="G4" s="36">
        <f>D4/G$14</f>
        <v>0.875</v>
      </c>
      <c r="H4" s="41">
        <f>E4/H$14</f>
        <v>0.75</v>
      </c>
    </row>
    <row r="5" spans="1:8" s="22" customFormat="1">
      <c r="A5" s="11" t="s">
        <v>12</v>
      </c>
      <c r="B5" s="16">
        <v>2</v>
      </c>
      <c r="C5" s="14">
        <v>7</v>
      </c>
      <c r="D5" s="14">
        <v>12</v>
      </c>
      <c r="E5" s="15">
        <v>8</v>
      </c>
      <c r="F5" s="35">
        <f t="shared" ref="F5:F13" si="0">C5/F$14</f>
        <v>0.875</v>
      </c>
      <c r="G5" s="36">
        <f t="shared" ref="G5:G13" si="1">D5/G$14</f>
        <v>0.75</v>
      </c>
      <c r="H5" s="37">
        <f t="shared" ref="H5:H13" si="2">E5/H$14</f>
        <v>1</v>
      </c>
    </row>
    <row r="6" spans="1:8" s="22" customFormat="1">
      <c r="A6" s="11" t="s">
        <v>13</v>
      </c>
      <c r="B6" s="16">
        <v>3</v>
      </c>
      <c r="C6" s="14">
        <v>8</v>
      </c>
      <c r="D6" s="14">
        <v>10</v>
      </c>
      <c r="E6" s="15">
        <v>8</v>
      </c>
      <c r="F6" s="35">
        <f t="shared" si="0"/>
        <v>1</v>
      </c>
      <c r="G6" s="36">
        <f t="shared" si="1"/>
        <v>0.625</v>
      </c>
      <c r="H6" s="37">
        <f t="shared" si="2"/>
        <v>1</v>
      </c>
    </row>
    <row r="7" spans="1:8" s="22" customFormat="1">
      <c r="A7" s="11" t="s">
        <v>14</v>
      </c>
      <c r="B7" s="16">
        <v>4</v>
      </c>
      <c r="C7" s="14">
        <v>6</v>
      </c>
      <c r="D7" s="14">
        <v>8</v>
      </c>
      <c r="E7" s="15">
        <v>6</v>
      </c>
      <c r="F7" s="35">
        <f t="shared" si="0"/>
        <v>0.75</v>
      </c>
      <c r="G7" s="36">
        <f t="shared" si="1"/>
        <v>0.5</v>
      </c>
      <c r="H7" s="37">
        <f t="shared" si="2"/>
        <v>0.75</v>
      </c>
    </row>
    <row r="8" spans="1:8" s="22" customFormat="1">
      <c r="A8" s="11" t="s">
        <v>15</v>
      </c>
      <c r="B8" s="16">
        <v>5</v>
      </c>
      <c r="C8" s="14">
        <v>6</v>
      </c>
      <c r="D8" s="14">
        <v>14</v>
      </c>
      <c r="E8" s="15">
        <v>4</v>
      </c>
      <c r="F8" s="35">
        <f t="shared" si="0"/>
        <v>0.75</v>
      </c>
      <c r="G8" s="36">
        <f t="shared" si="1"/>
        <v>0.875</v>
      </c>
      <c r="H8" s="37">
        <f t="shared" si="2"/>
        <v>0.5</v>
      </c>
    </row>
    <row r="9" spans="1:8" s="22" customFormat="1">
      <c r="A9" s="11" t="s">
        <v>16</v>
      </c>
      <c r="B9" s="16">
        <v>6</v>
      </c>
      <c r="C9" s="14">
        <v>7</v>
      </c>
      <c r="D9" s="14">
        <v>16</v>
      </c>
      <c r="E9" s="15">
        <v>8</v>
      </c>
      <c r="F9" s="35">
        <f t="shared" si="0"/>
        <v>0.875</v>
      </c>
      <c r="G9" s="36">
        <f t="shared" si="1"/>
        <v>1</v>
      </c>
      <c r="H9" s="37">
        <f t="shared" si="2"/>
        <v>1</v>
      </c>
    </row>
    <row r="10" spans="1:8" s="22" customFormat="1">
      <c r="A10" s="11" t="s">
        <v>17</v>
      </c>
      <c r="B10" s="16">
        <v>7</v>
      </c>
      <c r="C10" s="14">
        <v>4</v>
      </c>
      <c r="D10" s="14">
        <v>16</v>
      </c>
      <c r="E10" s="15">
        <v>4</v>
      </c>
      <c r="F10" s="35">
        <f t="shared" si="0"/>
        <v>0.5</v>
      </c>
      <c r="G10" s="36">
        <f t="shared" si="1"/>
        <v>1</v>
      </c>
      <c r="H10" s="37">
        <f t="shared" si="2"/>
        <v>0.5</v>
      </c>
    </row>
    <row r="11" spans="1:8" s="22" customFormat="1">
      <c r="A11" s="11" t="s">
        <v>18</v>
      </c>
      <c r="B11" s="16">
        <v>8</v>
      </c>
      <c r="C11" s="14">
        <v>5</v>
      </c>
      <c r="D11" s="14">
        <v>16</v>
      </c>
      <c r="E11" s="15">
        <v>7</v>
      </c>
      <c r="F11" s="35">
        <f t="shared" si="0"/>
        <v>0.625</v>
      </c>
      <c r="G11" s="36">
        <f t="shared" si="1"/>
        <v>1</v>
      </c>
      <c r="H11" s="37">
        <f t="shared" si="2"/>
        <v>0.875</v>
      </c>
    </row>
    <row r="12" spans="1:8" s="22" customFormat="1">
      <c r="A12" s="11" t="s">
        <v>19</v>
      </c>
      <c r="B12" s="16">
        <v>9</v>
      </c>
      <c r="C12" s="14">
        <v>8</v>
      </c>
      <c r="D12" s="14">
        <v>10</v>
      </c>
      <c r="E12" s="15">
        <v>7</v>
      </c>
      <c r="F12" s="35">
        <f t="shared" si="0"/>
        <v>1</v>
      </c>
      <c r="G12" s="36">
        <f t="shared" si="1"/>
        <v>0.625</v>
      </c>
      <c r="H12" s="37">
        <f t="shared" si="2"/>
        <v>0.875</v>
      </c>
    </row>
    <row r="13" spans="1:8" s="22" customFormat="1">
      <c r="A13" s="11" t="s">
        <v>20</v>
      </c>
      <c r="B13" s="16">
        <v>10</v>
      </c>
      <c r="C13" s="14">
        <v>6</v>
      </c>
      <c r="D13" s="14">
        <v>12</v>
      </c>
      <c r="E13" s="15">
        <v>8</v>
      </c>
      <c r="F13" s="35">
        <f t="shared" si="0"/>
        <v>0.75</v>
      </c>
      <c r="G13" s="36">
        <f t="shared" si="1"/>
        <v>0.75</v>
      </c>
      <c r="H13" s="72">
        <f t="shared" si="2"/>
        <v>1</v>
      </c>
    </row>
    <row r="14" spans="1:8" s="22" customFormat="1">
      <c r="A14" s="25"/>
      <c r="B14" s="24" t="s">
        <v>8</v>
      </c>
      <c r="C14" s="33">
        <v>8</v>
      </c>
      <c r="D14" s="33">
        <v>16</v>
      </c>
      <c r="E14" s="33">
        <v>8</v>
      </c>
      <c r="F14" s="32">
        <f>C14</f>
        <v>8</v>
      </c>
      <c r="G14" s="33">
        <f>D14</f>
        <v>16</v>
      </c>
      <c r="H14" s="34">
        <f>E14</f>
        <v>8</v>
      </c>
    </row>
    <row r="15" spans="1:8" s="22" customFormat="1" ht="15.75" thickBot="1">
      <c r="A15" s="11"/>
      <c r="B15" s="65" t="s">
        <v>33</v>
      </c>
      <c r="C15" s="47"/>
      <c r="D15" s="47"/>
      <c r="E15" s="68"/>
      <c r="F15" s="32"/>
      <c r="G15" s="33"/>
      <c r="H15" s="34"/>
    </row>
    <row r="16" spans="1:8" s="22" customFormat="1">
      <c r="A16" s="11"/>
      <c r="B16" s="23"/>
      <c r="C16" s="14"/>
      <c r="D16" s="14"/>
      <c r="E16" s="69" t="s">
        <v>9</v>
      </c>
      <c r="F16" s="66">
        <f>AVERAGE(F4:F13)</f>
        <v>0.8125</v>
      </c>
      <c r="G16" s="67">
        <f>AVERAGE(G4:G13)</f>
        <v>0.8</v>
      </c>
      <c r="H16" s="41">
        <f>AVERAGE(H4:H13)</f>
        <v>0.82499999999999996</v>
      </c>
    </row>
    <row r="17" spans="4:8" ht="15.75" thickBot="1">
      <c r="E17" s="70" t="s">
        <v>10</v>
      </c>
      <c r="F17" s="38">
        <f>STDEV(F4:F13)</f>
        <v>0.1692508000965825</v>
      </c>
      <c r="G17" s="39">
        <f>STDEV(G4:G13)</f>
        <v>0.17873008824606004</v>
      </c>
      <c r="H17" s="40">
        <f>STDEV(H4:H13)</f>
        <v>0.19720265943665377</v>
      </c>
    </row>
    <row r="18" spans="4:8" ht="15.75" thickBot="1"/>
    <row r="19" spans="4:8" ht="15.75" thickBot="1">
      <c r="D19" s="73" t="s">
        <v>34</v>
      </c>
      <c r="E19" s="74"/>
      <c r="F19" s="51">
        <f>AVERAGE(F16:H16)</f>
        <v>0.8125</v>
      </c>
    </row>
  </sheetData>
  <sheetProtection insertRows="0" deleteRows="0" selectLockedCells="1"/>
  <mergeCells count="5">
    <mergeCell ref="D19:E19"/>
    <mergeCell ref="C1:E1"/>
    <mergeCell ref="C2:E2"/>
    <mergeCell ref="F1:H1"/>
    <mergeCell ref="F2:H2"/>
  </mergeCells>
  <pageMargins left="0.7" right="0.7" top="0.75" bottom="0.75" header="0.3" footer="0.3"/>
  <pageSetup scale="62" orientation="landscape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0"/>
  <sheetViews>
    <sheetView tabSelected="1" zoomScalePageLayoutView="50" workbookViewId="0"/>
  </sheetViews>
  <sheetFormatPr defaultRowHeight="15"/>
  <cols>
    <col min="1" max="1" width="20.85546875" customWidth="1"/>
    <col min="2" max="2" width="13.85546875" customWidth="1"/>
    <col min="3" max="3" width="9.42578125" bestFit="1" customWidth="1"/>
    <col min="4" max="7" width="9.28515625" bestFit="1" customWidth="1"/>
    <col min="8" max="8" width="9.28515625" style="5" bestFit="1" customWidth="1"/>
    <col min="9" max="9" width="9.28515625" style="3" bestFit="1" customWidth="1"/>
    <col min="10" max="10" width="2.5703125" style="5" customWidth="1"/>
    <col min="11" max="11" width="14.28515625" customWidth="1"/>
    <col min="12" max="12" width="9.5703125" bestFit="1" customWidth="1"/>
    <col min="13" max="15" width="9.42578125" bestFit="1" customWidth="1"/>
    <col min="16" max="16" width="9.42578125" customWidth="1"/>
    <col min="17" max="17" width="9.42578125" bestFit="1" customWidth="1"/>
    <col min="18" max="18" width="9.42578125" style="5" bestFit="1" customWidth="1"/>
    <col min="19" max="19" width="9.42578125" style="3" bestFit="1" customWidth="1"/>
    <col min="20" max="20" width="10.140625" style="5" customWidth="1"/>
    <col min="21" max="21" width="9" style="5" customWidth="1"/>
  </cols>
  <sheetData>
    <row r="1" spans="1:21">
      <c r="A1" s="7"/>
      <c r="B1" s="7"/>
      <c r="C1" s="87" t="s">
        <v>36</v>
      </c>
      <c r="D1" s="88"/>
      <c r="E1" s="88"/>
      <c r="F1" s="88"/>
      <c r="G1" s="88"/>
      <c r="H1" s="88"/>
      <c r="I1" s="88"/>
      <c r="J1" s="63"/>
      <c r="L1" s="87" t="s">
        <v>37</v>
      </c>
      <c r="M1" s="88"/>
      <c r="N1" s="88"/>
      <c r="O1" s="88"/>
      <c r="P1" s="88"/>
      <c r="Q1" s="88"/>
      <c r="R1" s="88"/>
      <c r="S1" s="88"/>
      <c r="T1" s="63"/>
      <c r="U1" s="63"/>
    </row>
    <row r="2" spans="1:21">
      <c r="A2" s="7"/>
      <c r="B2" s="7"/>
      <c r="C2" s="89" t="s">
        <v>32</v>
      </c>
      <c r="D2" s="90"/>
      <c r="E2" s="90"/>
      <c r="F2" s="90"/>
      <c r="G2" s="90"/>
      <c r="H2" s="91" t="s">
        <v>28</v>
      </c>
      <c r="I2" s="92"/>
      <c r="J2" s="64"/>
      <c r="L2" s="89" t="s">
        <v>32</v>
      </c>
      <c r="M2" s="90"/>
      <c r="N2" s="90"/>
      <c r="O2" s="90"/>
      <c r="P2" s="90"/>
      <c r="Q2" s="90"/>
      <c r="R2" s="91" t="s">
        <v>28</v>
      </c>
      <c r="S2" s="92"/>
      <c r="T2" s="64"/>
      <c r="U2" s="64"/>
    </row>
    <row r="3" spans="1:21">
      <c r="A3" s="9" t="s">
        <v>6</v>
      </c>
      <c r="B3" s="43" t="s">
        <v>0</v>
      </c>
      <c r="C3" s="26" t="s">
        <v>35</v>
      </c>
      <c r="D3" s="26" t="s">
        <v>21</v>
      </c>
      <c r="E3" s="26" t="s">
        <v>22</v>
      </c>
      <c r="F3" s="26" t="s">
        <v>23</v>
      </c>
      <c r="G3" s="26" t="s">
        <v>25</v>
      </c>
      <c r="H3" s="26" t="s">
        <v>26</v>
      </c>
      <c r="I3" s="54" t="s">
        <v>27</v>
      </c>
      <c r="J3" s="52"/>
      <c r="L3" s="26" t="s">
        <v>35</v>
      </c>
      <c r="M3" s="26" t="s">
        <v>21</v>
      </c>
      <c r="N3" s="26" t="s">
        <v>22</v>
      </c>
      <c r="O3" s="26" t="s">
        <v>23</v>
      </c>
      <c r="P3" s="26" t="s">
        <v>24</v>
      </c>
      <c r="Q3" s="26" t="s">
        <v>25</v>
      </c>
      <c r="R3" s="26" t="s">
        <v>26</v>
      </c>
      <c r="S3" s="54" t="s">
        <v>27</v>
      </c>
      <c r="T3" s="71"/>
      <c r="U3" s="71"/>
    </row>
    <row r="4" spans="1:21">
      <c r="A4" s="11" t="s">
        <v>11</v>
      </c>
      <c r="B4" s="44">
        <v>1</v>
      </c>
      <c r="C4" s="13"/>
      <c r="D4" s="14"/>
      <c r="E4" s="14"/>
      <c r="F4" s="50"/>
      <c r="G4" s="15"/>
      <c r="H4" s="14"/>
      <c r="I4" s="55"/>
      <c r="J4" s="14"/>
      <c r="L4" s="13"/>
      <c r="M4" s="14"/>
      <c r="N4" s="14"/>
      <c r="O4" s="50"/>
      <c r="P4" s="14"/>
      <c r="Q4" s="15"/>
      <c r="R4" s="14"/>
      <c r="S4" s="55"/>
      <c r="T4" s="14"/>
      <c r="U4" s="14"/>
    </row>
    <row r="5" spans="1:21">
      <c r="A5" s="11" t="s">
        <v>12</v>
      </c>
      <c r="B5" s="13">
        <v>2</v>
      </c>
      <c r="C5" s="13"/>
      <c r="D5" s="14"/>
      <c r="E5" s="14"/>
      <c r="F5" s="14"/>
      <c r="G5" s="15"/>
      <c r="H5" s="14"/>
      <c r="I5" s="15"/>
      <c r="J5" s="14"/>
      <c r="L5" s="13"/>
      <c r="M5" s="14"/>
      <c r="N5" s="14"/>
      <c r="O5" s="14"/>
      <c r="P5" s="14"/>
      <c r="Q5" s="15"/>
      <c r="R5" s="14"/>
      <c r="S5" s="15"/>
      <c r="T5" s="14"/>
      <c r="U5" s="14"/>
    </row>
    <row r="6" spans="1:21">
      <c r="A6" s="11" t="s">
        <v>13</v>
      </c>
      <c r="B6" s="13">
        <v>3</v>
      </c>
      <c r="C6" s="13"/>
      <c r="D6" s="14"/>
      <c r="E6" s="14"/>
      <c r="F6" s="14"/>
      <c r="G6" s="15"/>
      <c r="H6" s="14"/>
      <c r="I6" s="15"/>
      <c r="J6" s="14"/>
      <c r="L6" s="13"/>
      <c r="M6" s="14"/>
      <c r="N6" s="14"/>
      <c r="O6" s="14"/>
      <c r="P6" s="14"/>
      <c r="Q6" s="15"/>
      <c r="R6" s="14"/>
      <c r="S6" s="15"/>
      <c r="T6" s="14"/>
      <c r="U6" s="14"/>
    </row>
    <row r="7" spans="1:21">
      <c r="A7" s="11" t="s">
        <v>14</v>
      </c>
      <c r="B7" s="13">
        <v>4</v>
      </c>
      <c r="C7" s="13"/>
      <c r="D7" s="14"/>
      <c r="E7" s="14"/>
      <c r="F7" s="14"/>
      <c r="G7" s="15"/>
      <c r="H7" s="14"/>
      <c r="I7" s="15"/>
      <c r="J7" s="14"/>
      <c r="L7" s="13"/>
      <c r="M7" s="14"/>
      <c r="N7" s="14"/>
      <c r="O7" s="14"/>
      <c r="P7" s="14"/>
      <c r="Q7" s="15"/>
      <c r="R7" s="14"/>
      <c r="S7" s="15"/>
      <c r="T7" s="14"/>
      <c r="U7" s="14"/>
    </row>
    <row r="8" spans="1:21">
      <c r="A8" s="11" t="s">
        <v>15</v>
      </c>
      <c r="B8" s="13">
        <v>5</v>
      </c>
      <c r="C8" s="13"/>
      <c r="D8" s="14"/>
      <c r="E8" s="14"/>
      <c r="F8" s="14"/>
      <c r="G8" s="15"/>
      <c r="H8" s="14"/>
      <c r="I8" s="15"/>
      <c r="J8" s="14"/>
      <c r="L8" s="13"/>
      <c r="M8" s="14"/>
      <c r="N8" s="14"/>
      <c r="O8" s="14"/>
      <c r="P8" s="14"/>
      <c r="Q8" s="15"/>
      <c r="R8" s="14"/>
      <c r="S8" s="15"/>
      <c r="T8" s="14"/>
      <c r="U8" s="14"/>
    </row>
    <row r="9" spans="1:21">
      <c r="A9" s="11" t="s">
        <v>16</v>
      </c>
      <c r="B9" s="13">
        <v>6</v>
      </c>
      <c r="C9" s="13"/>
      <c r="D9" s="14"/>
      <c r="E9" s="14"/>
      <c r="F9" s="14"/>
      <c r="G9" s="15"/>
      <c r="H9" s="14"/>
      <c r="I9" s="15"/>
      <c r="J9" s="14"/>
      <c r="L9" s="13"/>
      <c r="M9" s="14"/>
      <c r="N9" s="14"/>
      <c r="O9" s="14"/>
      <c r="P9" s="14"/>
      <c r="Q9" s="15"/>
      <c r="R9" s="14"/>
      <c r="S9" s="15"/>
      <c r="T9" s="14"/>
      <c r="U9" s="14"/>
    </row>
    <row r="10" spans="1:21">
      <c r="A10" s="11" t="s">
        <v>17</v>
      </c>
      <c r="B10" s="13">
        <v>7</v>
      </c>
      <c r="C10" s="13"/>
      <c r="D10" s="14"/>
      <c r="E10" s="14"/>
      <c r="F10" s="14"/>
      <c r="G10" s="15"/>
      <c r="H10" s="14"/>
      <c r="I10" s="15"/>
      <c r="J10" s="14"/>
      <c r="L10" s="13"/>
      <c r="M10" s="14"/>
      <c r="N10" s="14"/>
      <c r="O10" s="14"/>
      <c r="P10" s="14"/>
      <c r="Q10" s="15"/>
      <c r="R10" s="14"/>
      <c r="S10" s="15"/>
      <c r="T10" s="14"/>
      <c r="U10" s="14"/>
    </row>
    <row r="11" spans="1:21">
      <c r="A11" s="11" t="s">
        <v>18</v>
      </c>
      <c r="B11" s="13">
        <v>8</v>
      </c>
      <c r="C11" s="13"/>
      <c r="D11" s="14"/>
      <c r="E11" s="14"/>
      <c r="F11" s="14"/>
      <c r="G11" s="15"/>
      <c r="H11" s="14"/>
      <c r="I11" s="15"/>
      <c r="J11" s="14"/>
      <c r="L11" s="13"/>
      <c r="M11" s="14"/>
      <c r="N11" s="14"/>
      <c r="O11" s="14"/>
      <c r="P11" s="14"/>
      <c r="Q11" s="15"/>
      <c r="R11" s="14"/>
      <c r="S11" s="15"/>
      <c r="T11" s="14"/>
      <c r="U11" s="14"/>
    </row>
    <row r="12" spans="1:21">
      <c r="A12" s="11" t="s">
        <v>19</v>
      </c>
      <c r="B12" s="13">
        <v>9</v>
      </c>
      <c r="C12" s="13"/>
      <c r="D12" s="14"/>
      <c r="E12" s="14"/>
      <c r="F12" s="14"/>
      <c r="G12" s="15"/>
      <c r="H12" s="14"/>
      <c r="I12" s="15"/>
      <c r="J12" s="14"/>
      <c r="L12" s="13"/>
      <c r="M12" s="14"/>
      <c r="N12" s="14"/>
      <c r="O12" s="14"/>
      <c r="P12" s="14"/>
      <c r="Q12" s="15"/>
      <c r="R12" s="14"/>
      <c r="S12" s="15"/>
      <c r="T12" s="14"/>
      <c r="U12" s="14"/>
    </row>
    <row r="13" spans="1:21">
      <c r="A13" s="11" t="s">
        <v>20</v>
      </c>
      <c r="B13" s="13">
        <v>10</v>
      </c>
      <c r="C13" s="13"/>
      <c r="D13" s="14"/>
      <c r="E13" s="14"/>
      <c r="F13" s="14"/>
      <c r="G13" s="15"/>
      <c r="H13" s="14"/>
      <c r="I13" s="56"/>
      <c r="J13" s="14"/>
      <c r="L13" s="13"/>
      <c r="M13" s="14"/>
      <c r="N13" s="14"/>
      <c r="O13" s="14"/>
      <c r="P13" s="14"/>
      <c r="Q13" s="15"/>
      <c r="R13" s="14"/>
      <c r="S13" s="56"/>
      <c r="T13" s="14"/>
      <c r="U13" s="14"/>
    </row>
    <row r="14" spans="1:21">
      <c r="A14" s="25"/>
      <c r="B14" s="45" t="s">
        <v>8</v>
      </c>
      <c r="C14" s="17">
        <v>12</v>
      </c>
      <c r="D14" s="18">
        <v>8</v>
      </c>
      <c r="E14" s="18">
        <v>8</v>
      </c>
      <c r="F14" s="18">
        <v>4</v>
      </c>
      <c r="G14" s="19">
        <v>8</v>
      </c>
      <c r="H14" s="18">
        <v>4</v>
      </c>
      <c r="I14" s="19">
        <v>4</v>
      </c>
      <c r="J14" s="14"/>
      <c r="L14" s="17">
        <v>8</v>
      </c>
      <c r="M14" s="18">
        <v>16</v>
      </c>
      <c r="N14" s="18">
        <v>8</v>
      </c>
      <c r="O14" s="18">
        <v>4</v>
      </c>
      <c r="P14" s="18">
        <v>12</v>
      </c>
      <c r="Q14" s="19">
        <v>12</v>
      </c>
      <c r="R14" s="18">
        <v>4</v>
      </c>
      <c r="S14" s="19">
        <v>4</v>
      </c>
      <c r="T14" s="14"/>
      <c r="U14" s="14"/>
    </row>
    <row r="15" spans="1:21">
      <c r="A15" s="11"/>
      <c r="B15" s="42" t="s">
        <v>9</v>
      </c>
      <c r="C15" s="46" t="e">
        <f>AVERAGE(C4:C13)*4/C14</f>
        <v>#DIV/0!</v>
      </c>
      <c r="D15" s="47" t="e">
        <f t="shared" ref="D15:I15" si="0">AVERAGE(D4:D13)*4/D14</f>
        <v>#DIV/0!</v>
      </c>
      <c r="E15" s="47" t="e">
        <f t="shared" si="0"/>
        <v>#DIV/0!</v>
      </c>
      <c r="F15" s="47" t="e">
        <f t="shared" si="0"/>
        <v>#DIV/0!</v>
      </c>
      <c r="G15" s="49" t="e">
        <f t="shared" si="0"/>
        <v>#DIV/0!</v>
      </c>
      <c r="H15" s="47" t="e">
        <f t="shared" si="0"/>
        <v>#DIV/0!</v>
      </c>
      <c r="I15" s="49" t="e">
        <f t="shared" si="0"/>
        <v>#DIV/0!</v>
      </c>
      <c r="J15" s="53"/>
      <c r="L15" s="46" t="e">
        <f>AVERAGE(L4:L13)*4/L14</f>
        <v>#DIV/0!</v>
      </c>
      <c r="M15" s="47" t="e">
        <f t="shared" ref="M15:S15" si="1">AVERAGE(M4:M13)*4/M14</f>
        <v>#DIV/0!</v>
      </c>
      <c r="N15" s="47" t="e">
        <f t="shared" si="1"/>
        <v>#DIV/0!</v>
      </c>
      <c r="O15" s="47" t="e">
        <f t="shared" si="1"/>
        <v>#DIV/0!</v>
      </c>
      <c r="P15" s="47" t="e">
        <f t="shared" si="1"/>
        <v>#DIV/0!</v>
      </c>
      <c r="Q15" s="49" t="e">
        <f t="shared" si="1"/>
        <v>#DIV/0!</v>
      </c>
      <c r="R15" s="47" t="e">
        <f t="shared" si="1"/>
        <v>#DIV/0!</v>
      </c>
      <c r="S15" s="49" t="e">
        <f t="shared" si="1"/>
        <v>#DIV/0!</v>
      </c>
      <c r="T15" s="53"/>
      <c r="U15" s="53"/>
    </row>
    <row r="16" spans="1:21">
      <c r="A16" s="11"/>
      <c r="B16" s="29" t="s">
        <v>10</v>
      </c>
      <c r="C16" s="48" t="e">
        <f>STDEV(C4:C13)</f>
        <v>#DIV/0!</v>
      </c>
      <c r="D16" s="20" t="e">
        <f t="shared" ref="D16:I16" si="2">STDEV(D4:D13)</f>
        <v>#DIV/0!</v>
      </c>
      <c r="E16" s="20" t="e">
        <f t="shared" si="2"/>
        <v>#DIV/0!</v>
      </c>
      <c r="F16" s="20" t="e">
        <f t="shared" si="2"/>
        <v>#DIV/0!</v>
      </c>
      <c r="G16" s="21" t="e">
        <f t="shared" si="2"/>
        <v>#DIV/0!</v>
      </c>
      <c r="H16" s="20" t="e">
        <f t="shared" si="2"/>
        <v>#DIV/0!</v>
      </c>
      <c r="I16" s="21" t="e">
        <f t="shared" si="2"/>
        <v>#DIV/0!</v>
      </c>
      <c r="J16" s="53"/>
      <c r="L16" s="48" t="e">
        <f>STDEV(L4:L13)</f>
        <v>#DIV/0!</v>
      </c>
      <c r="M16" s="20" t="e">
        <f t="shared" ref="M16:S16" si="3">STDEV(M4:M13)</f>
        <v>#DIV/0!</v>
      </c>
      <c r="N16" s="20" t="e">
        <f t="shared" si="3"/>
        <v>#DIV/0!</v>
      </c>
      <c r="O16" s="20" t="e">
        <f t="shared" si="3"/>
        <v>#DIV/0!</v>
      </c>
      <c r="P16" s="20" t="e">
        <f t="shared" si="3"/>
        <v>#DIV/0!</v>
      </c>
      <c r="Q16" s="21" t="e">
        <f t="shared" si="3"/>
        <v>#DIV/0!</v>
      </c>
      <c r="R16" s="20" t="e">
        <f t="shared" si="3"/>
        <v>#DIV/0!</v>
      </c>
      <c r="S16" s="21" t="e">
        <f t="shared" si="3"/>
        <v>#DIV/0!</v>
      </c>
      <c r="T16" s="53"/>
      <c r="U16" s="53"/>
    </row>
    <row r="17" spans="2:12" ht="15.75" thickBot="1"/>
    <row r="18" spans="2:12">
      <c r="B18" s="57" t="s">
        <v>29</v>
      </c>
      <c r="C18" s="58" t="e">
        <f>AVERAGE(C15:D15)</f>
        <v>#DIV/0!</v>
      </c>
      <c r="K18" s="57" t="s">
        <v>29</v>
      </c>
      <c r="L18" s="58" t="e">
        <f>AVERAGE(L15:M15)</f>
        <v>#DIV/0!</v>
      </c>
    </row>
    <row r="19" spans="2:12">
      <c r="B19" s="59" t="s">
        <v>30</v>
      </c>
      <c r="C19" s="60" t="e">
        <f>AVERAGE(E15:G15)</f>
        <v>#DIV/0!</v>
      </c>
      <c r="K19" s="59" t="s">
        <v>30</v>
      </c>
      <c r="L19" s="60" t="e">
        <f>AVERAGE(N15:Q15)</f>
        <v>#DIV/0!</v>
      </c>
    </row>
    <row r="20" spans="2:12" ht="15.75" thickBot="1">
      <c r="B20" s="61" t="s">
        <v>31</v>
      </c>
      <c r="C20" s="62" t="e">
        <f>AVERAGE(H15:I15)</f>
        <v>#DIV/0!</v>
      </c>
      <c r="K20" s="61" t="s">
        <v>31</v>
      </c>
      <c r="L20" s="62" t="e">
        <f>AVERAGE(R15:S15)</f>
        <v>#DIV/0!</v>
      </c>
    </row>
  </sheetData>
  <mergeCells count="6">
    <mergeCell ref="C1:I1"/>
    <mergeCell ref="L1:S1"/>
    <mergeCell ref="C2:G2"/>
    <mergeCell ref="H2:I2"/>
    <mergeCell ref="L2:Q2"/>
    <mergeCell ref="R2:S2"/>
  </mergeCells>
  <pageMargins left="0.7" right="0.7" top="0.75" bottom="0.75" header="0.3" footer="0.3"/>
  <pageSetup scale="57" orientation="landscape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Pre-Lab Questions</vt:lpstr>
      <vt:lpstr>Ball and Beam Lab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Michel Levis</cp:lastModifiedBy>
  <cp:lastPrinted>2010-10-16T22:38:19Z</cp:lastPrinted>
  <dcterms:created xsi:type="dcterms:W3CDTF">2010-10-08T20:53:12Z</dcterms:created>
  <dcterms:modified xsi:type="dcterms:W3CDTF">2011-12-15T14:07:11Z</dcterms:modified>
</cp:coreProperties>
</file>